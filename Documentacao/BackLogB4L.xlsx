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iadal\Downloads\"/>
    </mc:Choice>
  </mc:AlternateContent>
  <xr:revisionPtr revIDLastSave="248" documentId="8_{D5FA35CB-D1C0-426A-A21F-700BCEF8BE79}" xr6:coauthVersionLast="47" xr6:coauthVersionMax="47" xr10:uidLastSave="{DAC02F1E-7811-4FE9-96E6-F6152518F091}"/>
  <bookViews>
    <workbookView xWindow="-108" yWindow="-108" windowWidth="23256" windowHeight="12456" xr2:uid="{17DC9048-F1D0-420D-80ED-591DA9E5DA65}"/>
  </bookViews>
  <sheets>
    <sheet name="Backlog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I5" i="3"/>
  <c r="F6" i="3"/>
  <c r="I6" i="3"/>
  <c r="F7" i="3"/>
  <c r="I7" i="3"/>
  <c r="F8" i="3"/>
  <c r="I8" i="3"/>
  <c r="F9" i="3"/>
  <c r="I9" i="3"/>
  <c r="F10" i="3"/>
  <c r="I10" i="3"/>
  <c r="F11" i="3"/>
  <c r="I11" i="3"/>
  <c r="F12" i="3"/>
  <c r="I12" i="3"/>
  <c r="F13" i="3"/>
  <c r="I13" i="3"/>
  <c r="F14" i="3"/>
  <c r="I14" i="3"/>
  <c r="F15" i="3"/>
  <c r="I15" i="3"/>
  <c r="F16" i="3"/>
  <c r="I16" i="3"/>
  <c r="F17" i="3"/>
  <c r="I17" i="3"/>
  <c r="I4" i="3"/>
  <c r="I21" i="3" l="1"/>
  <c r="I20" i="3"/>
  <c r="I18" i="3"/>
  <c r="I19" i="3"/>
  <c r="I22" i="3"/>
  <c r="I23" i="3"/>
  <c r="I24" i="3"/>
  <c r="I25" i="3"/>
  <c r="I26" i="3"/>
  <c r="I27" i="3"/>
  <c r="I3" i="3"/>
  <c r="F3" i="3"/>
  <c r="F27" i="3"/>
  <c r="F26" i="3"/>
  <c r="F25" i="3"/>
  <c r="F24" i="3"/>
  <c r="F23" i="3"/>
  <c r="F22" i="3"/>
  <c r="F19" i="3"/>
  <c r="F18" i="3"/>
  <c r="M9" i="3"/>
  <c r="N9" i="3" s="1"/>
  <c r="F20" i="3"/>
  <c r="F21" i="3"/>
  <c r="M8" i="3" s="1"/>
  <c r="N8" i="3" s="1"/>
  <c r="M7" i="3" l="1"/>
  <c r="N7" i="3" s="1"/>
  <c r="M6" i="3"/>
  <c r="N6" i="3" s="1"/>
  <c r="O8" i="3"/>
  <c r="O9" i="3"/>
  <c r="O7" i="3"/>
  <c r="O6" i="3" l="1"/>
  <c r="P6" i="3" s="1"/>
  <c r="P7" i="3"/>
</calcChain>
</file>

<file path=xl/sharedStrings.xml><?xml version="1.0" encoding="utf-8"?>
<sst xmlns="http://schemas.openxmlformats.org/spreadsheetml/2006/main" count="143" uniqueCount="75">
  <si>
    <t>REQUISITOS</t>
  </si>
  <si>
    <t>DESCRIÇÃO</t>
  </si>
  <si>
    <t>CLASSIFICAÇÃO</t>
  </si>
  <si>
    <t>TAMANHO</t>
  </si>
  <si>
    <t>Tam(#)</t>
  </si>
  <si>
    <t>PRIORIDADE</t>
  </si>
  <si>
    <t xml:space="preserve"> SPRINT</t>
  </si>
  <si>
    <t>STATUS</t>
  </si>
  <si>
    <t>FINALIZADO</t>
  </si>
  <si>
    <t>Conectar MySQL na VM</t>
  </si>
  <si>
    <t>Testar comunicação entre o banco e a aplicação</t>
  </si>
  <si>
    <t>Importante</t>
  </si>
  <si>
    <t>G</t>
  </si>
  <si>
    <t>SP3</t>
  </si>
  <si>
    <t>Criar tela de login</t>
  </si>
  <si>
    <t>Desenvolver a página de login utilizando HTML e CSS</t>
  </si>
  <si>
    <t>Essencial</t>
  </si>
  <si>
    <t>M</t>
  </si>
  <si>
    <t>SP2</t>
  </si>
  <si>
    <t>Criar tela de cadastro</t>
  </si>
  <si>
    <t>Desenvolver a página de cadastro utilizando HTML e CSS</t>
  </si>
  <si>
    <t>Pontos Fibonacci</t>
  </si>
  <si>
    <t>Planejado</t>
  </si>
  <si>
    <t>Entregue</t>
  </si>
  <si>
    <t>Pendente</t>
  </si>
  <si>
    <t>Criar tela home</t>
  </si>
  <si>
    <t>Desenvolver a página home utilizando HTML e CSS</t>
  </si>
  <si>
    <t>Total</t>
  </si>
  <si>
    <t>Vincular o login com o banco de dados</t>
  </si>
  <si>
    <t>Vincular a página de login com o banco de dados</t>
  </si>
  <si>
    <t>SP1</t>
  </si>
  <si>
    <t>Vincular o cadastro com o banco de dados</t>
  </si>
  <si>
    <t>Vincular a página de cadastro com o banco de dados</t>
  </si>
  <si>
    <t>Criar a tela de dashboard</t>
  </si>
  <si>
    <t>Desenvolver o HTML e CSS da página de dashboard</t>
  </si>
  <si>
    <t>Vincular a dashboard com o banco de dados</t>
  </si>
  <si>
    <t>Vincular a página de dashboard com os dados do banco de dados</t>
  </si>
  <si>
    <t>SP4</t>
  </si>
  <si>
    <t>Criar os KPI da Dashboard</t>
  </si>
  <si>
    <t>Criar indicadores de treino na página de dashboard</t>
  </si>
  <si>
    <t>Criar modelagem</t>
  </si>
  <si>
    <t>Criar a modelagem do banco de dados de acordo com as regras de negócio</t>
  </si>
  <si>
    <t>P</t>
  </si>
  <si>
    <t>Criar formulário para adicionar treino</t>
  </si>
  <si>
    <t>Criar um formulário para adicionar os treinos</t>
  </si>
  <si>
    <t>Vincular o formulário de treino com o banco de dados</t>
  </si>
  <si>
    <t>Vincular formulário para adicionar treino ao banco de dados</t>
  </si>
  <si>
    <t>Criar a rota para apagar treino</t>
  </si>
  <si>
    <t>Criar uma rota para deleção de treino</t>
  </si>
  <si>
    <t>Desejavel</t>
  </si>
  <si>
    <t>Vincular atualização e deleção de treino com o banco de dados</t>
  </si>
  <si>
    <t>Vincular a rota de atualização e delecao de treino com o frontend</t>
  </si>
  <si>
    <t>Atualizar objetivo de treino</t>
  </si>
  <si>
    <t>Criar uma rota que permita a atualização do objetivo de treino</t>
  </si>
  <si>
    <t>Conectar MySQL e Site na VM</t>
  </si>
  <si>
    <t>Instalar e configurar o servidor MySQL dentro da máquina virtual (Lubuntu)</t>
  </si>
  <si>
    <t>GG</t>
  </si>
  <si>
    <t>Criar rota para atualizar treino</t>
  </si>
  <si>
    <t>Criar uma rota para atualização de treino</t>
  </si>
  <si>
    <t>Desenvolver a Navegação entre páginas</t>
  </si>
  <si>
    <t>Desenvolver a navegação entre as páginas</t>
  </si>
  <si>
    <t>Desenvolver Página de Objetivo de treino</t>
  </si>
  <si>
    <t>Desenvolver a página de objetivo de treino utilizando HTML e CSS</t>
  </si>
  <si>
    <t>Criar o Github do projeto</t>
  </si>
  <si>
    <t>Criar um repositório no GitHub para versionamento do projeto</t>
  </si>
  <si>
    <t xml:space="preserve">Configurar o Trello </t>
  </si>
  <si>
    <t>Estruturar o quadro de gestão ágil do projeto no Trello</t>
  </si>
  <si>
    <t>Criar Diagrama de solução</t>
  </si>
  <si>
    <t>Desenvolver uma representação gráfica da arquitetura da solução de como o projeto deve funcionar</t>
  </si>
  <si>
    <t>Criar Diagrama Visão de Negócio</t>
  </si>
  <si>
    <t>Desenvolver uma representação gráfica da visão de negócios de como o projeto irá gerar valor</t>
  </si>
  <si>
    <t>Criar Documentação do Projeto</t>
  </si>
  <si>
    <t>Desenvolver documentação do projeto no Word estruturando com base no PMBOK</t>
  </si>
  <si>
    <t>Criar as tabelas no MySQL</t>
  </si>
  <si>
    <t>Implementar no MySQL a modelagem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</si>
</sst>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rial"/>
    </font>
    <font>
      <sz val="12"/>
      <color theme="0"/>
      <name val="Arial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5" borderId="0" xfId="0" applyFill="1"/>
    <xf numFmtId="0" fontId="6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790939933240999E-2"/>
          <c:y val="0.1370217620728133"/>
          <c:w val="0.93930084721402385"/>
          <c:h val="0.7177280665928969"/>
        </c:manualLayout>
      </c:layout>
      <c:lineChart>
        <c:grouping val="standard"/>
        <c:varyColors val="0"/>
        <c:ser>
          <c:idx val="1"/>
          <c:order val="0"/>
          <c:tx>
            <c:strRef>
              <c:f>Backlog!$N$5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Backlog!$L$6:$L$10</c:f>
              <c:strCache>
                <c:ptCount val="5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  <c:pt idx="4">
                  <c:v>SP4</c:v>
                </c:pt>
              </c:strCache>
            </c:strRef>
          </c:cat>
          <c:val>
            <c:numRef>
              <c:f>Backlog!$N$6:$N$9</c:f>
              <c:numCache>
                <c:formatCode>General</c:formatCode>
                <c:ptCount val="4"/>
                <c:pt idx="0">
                  <c:v>96</c:v>
                </c:pt>
                <c:pt idx="1">
                  <c:v>43</c:v>
                </c:pt>
                <c:pt idx="2">
                  <c:v>82</c:v>
                </c:pt>
                <c:pt idx="3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0-4EC6-9A6D-EDFB1AD1F5AE}"/>
            </c:ext>
          </c:extLst>
        </c:ser>
        <c:ser>
          <c:idx val="2"/>
          <c:order val="1"/>
          <c:tx>
            <c:strRef>
              <c:f>Backlog!$O$5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Backlog!$L$6:$L$10</c:f>
              <c:strCache>
                <c:ptCount val="5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  <c:pt idx="4">
                  <c:v>SP4</c:v>
                </c:pt>
              </c:strCache>
            </c:strRef>
          </c:cat>
          <c:val>
            <c:numRef>
              <c:f>Backlog!$O$6:$O$9</c:f>
              <c:numCache>
                <c:formatCode>General</c:formatCode>
                <c:ptCount val="4"/>
                <c:pt idx="0">
                  <c:v>221</c:v>
                </c:pt>
                <c:pt idx="1">
                  <c:v>43</c:v>
                </c:pt>
                <c:pt idx="2">
                  <c:v>82</c:v>
                </c:pt>
                <c:pt idx="3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0-4EC6-9A6D-EDFB1AD1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965448"/>
        <c:axId val="1219967496"/>
      </c:lineChart>
      <c:catAx>
        <c:axId val="121996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67496"/>
        <c:crosses val="autoZero"/>
        <c:auto val="1"/>
        <c:lblAlgn val="ctr"/>
        <c:lblOffset val="100"/>
        <c:noMultiLvlLbl val="0"/>
      </c:catAx>
      <c:valAx>
        <c:axId val="1219967496"/>
        <c:scaling>
          <c:orientation val="minMax"/>
          <c:max val="29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6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381001</xdr:colOff>
      <xdr:row>3</xdr:row>
      <xdr:rowOff>10886</xdr:rowOff>
    </xdr:from>
    <xdr:to>
      <xdr:col>28</xdr:col>
      <xdr:colOff>337457</xdr:colOff>
      <xdr:row>19</xdr:row>
      <xdr:rowOff>19610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A4DDAA18-08F2-4DED-BAE1-B008D46B6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2673-040F-4BD4-9F8E-B0F9E980B22C}">
  <dimension ref="B2:P45"/>
  <sheetViews>
    <sheetView tabSelected="1" zoomScale="85" zoomScaleNormal="85" workbookViewId="0">
      <selection activeCell="C32" sqref="C32"/>
    </sheetView>
  </sheetViews>
  <sheetFormatPr defaultRowHeight="14.45" outlineLevelRow="1"/>
  <cols>
    <col min="2" max="2" width="47" customWidth="1"/>
    <col min="3" max="3" width="145" customWidth="1"/>
    <col min="4" max="4" width="16.28515625" bestFit="1" customWidth="1"/>
    <col min="5" max="5" width="10.42578125" bestFit="1" customWidth="1"/>
    <col min="7" max="7" width="12.42578125" bestFit="1" customWidth="1"/>
    <col min="8" max="8" width="8.140625" bestFit="1" customWidth="1"/>
    <col min="9" max="9" width="15.7109375" bestFit="1" customWidth="1"/>
    <col min="10" max="10" width="12.28515625" bestFit="1" customWidth="1"/>
  </cols>
  <sheetData>
    <row r="2" spans="2:16" ht="15.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6" ht="15">
      <c r="B3" s="4" t="s">
        <v>9</v>
      </c>
      <c r="C3" s="4" t="s">
        <v>10</v>
      </c>
      <c r="D3" s="5" t="s">
        <v>11</v>
      </c>
      <c r="E3" s="6" t="s">
        <v>12</v>
      </c>
      <c r="F3" s="6">
        <f t="shared" ref="F3" si="0">IF(E3="PP",1,
IF(E3="P",3,
IF(E3="M",5,
IF(E3="G",13,
IF(E3="GG",21,"")))))</f>
        <v>13</v>
      </c>
      <c r="G3" s="6">
        <v>3</v>
      </c>
      <c r="H3" s="6" t="s">
        <v>13</v>
      </c>
      <c r="I3" s="6" t="str">
        <f t="shared" ref="I3" si="1">IF(J3=TRUE,"Finalizado",IF(H3="SP1","Em andamento","Planejado"))</f>
        <v>Finalizado</v>
      </c>
      <c r="J3" s="3" t="b">
        <v>1</v>
      </c>
    </row>
    <row r="4" spans="2:16" ht="38.450000000000003" customHeight="1">
      <c r="B4" s="4" t="s">
        <v>14</v>
      </c>
      <c r="C4" s="4" t="s">
        <v>15</v>
      </c>
      <c r="D4" s="5" t="s">
        <v>16</v>
      </c>
      <c r="E4" s="6" t="s">
        <v>17</v>
      </c>
      <c r="F4" s="6">
        <f>IF(E4="PP",1,
IF(E4="P",3,
IF(E4="M",5,
IF(E4="G",13,
IF(E4="GG",21,"")))))</f>
        <v>5</v>
      </c>
      <c r="G4" s="6">
        <v>3</v>
      </c>
      <c r="H4" s="6" t="s">
        <v>18</v>
      </c>
      <c r="I4" s="6" t="str">
        <f>IF(J4=TRUE,"Finalizado",IF(H4="SP1","Em andamento","Planejado"))</f>
        <v>Finalizado</v>
      </c>
      <c r="J4" s="3" t="b">
        <v>1</v>
      </c>
    </row>
    <row r="5" spans="2:16" ht="15.75">
      <c r="B5" s="4" t="s">
        <v>19</v>
      </c>
      <c r="C5" s="4" t="s">
        <v>20</v>
      </c>
      <c r="D5" s="5" t="s">
        <v>16</v>
      </c>
      <c r="E5" s="6" t="s">
        <v>17</v>
      </c>
      <c r="F5" s="6">
        <f>IF(E5="PP",1,
IF(E5="P",3,
IF(E5="M",5,
IF(E5="G",13,
IF(E5="GG",21,"")))))</f>
        <v>5</v>
      </c>
      <c r="G5" s="6">
        <v>2</v>
      </c>
      <c r="H5" s="6" t="s">
        <v>18</v>
      </c>
      <c r="I5" s="6" t="str">
        <f t="shared" ref="I5:I17" si="2">IF(J5=TRUE,"Finalizado",IF(H5="SP1","Em andamento","Planejado"))</f>
        <v>Finalizado</v>
      </c>
      <c r="J5" s="3" t="b">
        <v>1</v>
      </c>
      <c r="L5" s="8"/>
      <c r="M5" s="9" t="s">
        <v>21</v>
      </c>
      <c r="N5" s="9" t="s">
        <v>22</v>
      </c>
      <c r="O5" s="10" t="s">
        <v>23</v>
      </c>
      <c r="P5" s="11" t="s">
        <v>24</v>
      </c>
    </row>
    <row r="6" spans="2:16" ht="15.75" outlineLevel="1">
      <c r="B6" s="4" t="s">
        <v>25</v>
      </c>
      <c r="C6" s="4" t="s">
        <v>26</v>
      </c>
      <c r="D6" s="5" t="s">
        <v>11</v>
      </c>
      <c r="E6" s="6" t="s">
        <v>17</v>
      </c>
      <c r="F6" s="6">
        <f>IF(E6="PP",1,
IF(E6="P",3,
IF(E6="M",5,
IF(E6="G",13,
IF(E6="GG",21,"")))))</f>
        <v>5</v>
      </c>
      <c r="G6" s="6">
        <v>2</v>
      </c>
      <c r="H6" s="6" t="s">
        <v>18</v>
      </c>
      <c r="I6" s="6" t="str">
        <f t="shared" si="2"/>
        <v>Finalizado</v>
      </c>
      <c r="J6" s="3" t="b">
        <v>1</v>
      </c>
      <c r="L6" s="12" t="s">
        <v>27</v>
      </c>
      <c r="M6" s="13">
        <f>SUM(F3:F12)</f>
        <v>96</v>
      </c>
      <c r="N6" s="13">
        <f>M6</f>
        <v>96</v>
      </c>
      <c r="O6" s="13">
        <f>SUM(O7:O9)</f>
        <v>221</v>
      </c>
      <c r="P6" s="13">
        <f>N6-O6</f>
        <v>-125</v>
      </c>
    </row>
    <row r="7" spans="2:16" ht="15.75">
      <c r="B7" s="4" t="s">
        <v>28</v>
      </c>
      <c r="C7" s="4" t="s">
        <v>29</v>
      </c>
      <c r="D7" s="5" t="s">
        <v>16</v>
      </c>
      <c r="E7" s="6" t="s">
        <v>12</v>
      </c>
      <c r="F7" s="6">
        <f>IF(E7="PP",1,
IF(E7="P",3,
IF(E7="M",5,
IF(E7="G",13,
IF(E7="GG",21,"")))))</f>
        <v>13</v>
      </c>
      <c r="G7" s="6">
        <v>1</v>
      </c>
      <c r="H7" s="6" t="s">
        <v>18</v>
      </c>
      <c r="I7" s="6" t="str">
        <f t="shared" si="2"/>
        <v>Finalizado</v>
      </c>
      <c r="J7" s="3" t="b">
        <v>1</v>
      </c>
      <c r="L7" s="9" t="s">
        <v>30</v>
      </c>
      <c r="M7" s="14">
        <f>SUMIF($H:$H,L7,$F:$F)</f>
        <v>43</v>
      </c>
      <c r="N7" s="13">
        <f>M7</f>
        <v>43</v>
      </c>
      <c r="O7" s="13">
        <f>SUMIFS($F:$F,$H:$H,L7,$I:$I,"Finalizado")</f>
        <v>43</v>
      </c>
      <c r="P7" s="13">
        <f>N7-O7</f>
        <v>0</v>
      </c>
    </row>
    <row r="8" spans="2:16" ht="15.75">
      <c r="B8" s="4" t="s">
        <v>31</v>
      </c>
      <c r="C8" s="4" t="s">
        <v>32</v>
      </c>
      <c r="D8" s="5" t="s">
        <v>16</v>
      </c>
      <c r="E8" s="6" t="s">
        <v>12</v>
      </c>
      <c r="F8" s="6">
        <f>IF(E8="PP",1,
IF(E8="P",3,
IF(E8="M",5,
IF(E8="G",13,
IF(E8="GG",21,"")))))</f>
        <v>13</v>
      </c>
      <c r="G8" s="6">
        <v>1</v>
      </c>
      <c r="H8" s="6" t="s">
        <v>18</v>
      </c>
      <c r="I8" s="6" t="str">
        <f t="shared" si="2"/>
        <v>Finalizado</v>
      </c>
      <c r="J8" s="3" t="b">
        <v>1</v>
      </c>
      <c r="L8" s="9" t="s">
        <v>18</v>
      </c>
      <c r="M8" s="14">
        <f>SUMIF($H:$H,L8,$F:$F)</f>
        <v>82</v>
      </c>
      <c r="N8" s="13">
        <f>M8</f>
        <v>82</v>
      </c>
      <c r="O8" s="13">
        <f>SUMIFS($F:$F,$H:$H,L8,$I:$I,"Finalizado")</f>
        <v>82</v>
      </c>
      <c r="P8" s="13"/>
    </row>
    <row r="9" spans="2:16" ht="15.75">
      <c r="B9" s="4" t="s">
        <v>33</v>
      </c>
      <c r="C9" s="4" t="s">
        <v>34</v>
      </c>
      <c r="D9" s="5" t="s">
        <v>16</v>
      </c>
      <c r="E9" s="6" t="s">
        <v>12</v>
      </c>
      <c r="F9" s="6">
        <f>IF(E9="PP",1,
IF(E9="P",3,
IF(E9="M",5,
IF(E9="G",13,
IF(E9="GG",21,"")))))</f>
        <v>13</v>
      </c>
      <c r="G9" s="6">
        <v>1</v>
      </c>
      <c r="H9" s="6" t="s">
        <v>18</v>
      </c>
      <c r="I9" s="6" t="str">
        <f t="shared" si="2"/>
        <v>Finalizado</v>
      </c>
      <c r="J9" s="3" t="b">
        <v>1</v>
      </c>
      <c r="L9" s="9" t="s">
        <v>13</v>
      </c>
      <c r="M9" s="13">
        <f>SUMIF($H:$H,L9,$F:$F)</f>
        <v>96</v>
      </c>
      <c r="N9" s="13">
        <f>M9</f>
        <v>96</v>
      </c>
      <c r="O9" s="13">
        <f>SUMIFS($F:$F,$H:$H,L9,$I:$I,"Finalizado")</f>
        <v>96</v>
      </c>
      <c r="P9" s="13"/>
    </row>
    <row r="10" spans="2:16" ht="15.75">
      <c r="B10" s="4" t="s">
        <v>35</v>
      </c>
      <c r="C10" s="4" t="s">
        <v>36</v>
      </c>
      <c r="D10" s="5" t="s">
        <v>16</v>
      </c>
      <c r="E10" s="6" t="s">
        <v>12</v>
      </c>
      <c r="F10" s="6">
        <f>IF(E10="PP",1,
IF(E10="P",3,
IF(E10="M",5,
IF(E10="G",13,
IF(E10="GG",21,"")))))</f>
        <v>13</v>
      </c>
      <c r="G10" s="6">
        <v>3</v>
      </c>
      <c r="H10" s="6" t="s">
        <v>13</v>
      </c>
      <c r="I10" s="6" t="str">
        <f t="shared" si="2"/>
        <v>Finalizado</v>
      </c>
      <c r="J10" s="3" t="b">
        <v>1</v>
      </c>
      <c r="L10" s="9" t="s">
        <v>37</v>
      </c>
      <c r="M10" s="13">
        <v>0</v>
      </c>
      <c r="N10" s="13">
        <v>0</v>
      </c>
      <c r="O10" s="13">
        <v>0</v>
      </c>
      <c r="P10" s="13"/>
    </row>
    <row r="11" spans="2:16" ht="15">
      <c r="B11" s="4" t="s">
        <v>38</v>
      </c>
      <c r="C11" s="4" t="s">
        <v>39</v>
      </c>
      <c r="D11" s="5" t="s">
        <v>11</v>
      </c>
      <c r="E11" s="6" t="s">
        <v>12</v>
      </c>
      <c r="F11" s="6">
        <f>IF(E11="PP",1,
IF(E11="P",3,
IF(E11="M",5,
IF(E11="G",13,
IF(E11="GG",21,"")))))</f>
        <v>13</v>
      </c>
      <c r="G11" s="6">
        <v>3</v>
      </c>
      <c r="H11" s="6" t="s">
        <v>18</v>
      </c>
      <c r="I11" s="6" t="str">
        <f t="shared" si="2"/>
        <v>Finalizado</v>
      </c>
      <c r="J11" s="3" t="b">
        <v>1</v>
      </c>
    </row>
    <row r="12" spans="2:16" ht="15">
      <c r="B12" s="4" t="s">
        <v>40</v>
      </c>
      <c r="C12" s="4" t="s">
        <v>41</v>
      </c>
      <c r="D12" s="5" t="s">
        <v>16</v>
      </c>
      <c r="E12" s="6" t="s">
        <v>42</v>
      </c>
      <c r="F12" s="6">
        <f>IF(E12="PP",1,
IF(E12="P",3,
IF(E12="M",5,
IF(E12="G",13,
IF(E12="GG",21,"")))))</f>
        <v>3</v>
      </c>
      <c r="G12" s="6">
        <v>1</v>
      </c>
      <c r="H12" s="6" t="s">
        <v>30</v>
      </c>
      <c r="I12" s="6" t="str">
        <f t="shared" si="2"/>
        <v>Finalizado</v>
      </c>
      <c r="J12" s="3" t="b">
        <v>1</v>
      </c>
    </row>
    <row r="13" spans="2:16" ht="15">
      <c r="B13" s="4" t="s">
        <v>43</v>
      </c>
      <c r="C13" s="4" t="s">
        <v>44</v>
      </c>
      <c r="D13" s="5" t="s">
        <v>16</v>
      </c>
      <c r="E13" s="6" t="s">
        <v>17</v>
      </c>
      <c r="F13" s="6">
        <f>IF(E13="PP",1,
IF(E13="P",3,
IF(E13="M",5,
IF(E13="G",13,
IF(E13="GG",21,"")))))</f>
        <v>5</v>
      </c>
      <c r="G13" s="6">
        <v>1</v>
      </c>
      <c r="H13" s="6" t="s">
        <v>18</v>
      </c>
      <c r="I13" s="6" t="str">
        <f t="shared" si="2"/>
        <v>Finalizado</v>
      </c>
      <c r="J13" s="3" t="b">
        <v>1</v>
      </c>
    </row>
    <row r="14" spans="2:16" ht="30.75">
      <c r="B14" s="7" t="s">
        <v>45</v>
      </c>
      <c r="C14" s="4" t="s">
        <v>46</v>
      </c>
      <c r="D14" s="5" t="s">
        <v>16</v>
      </c>
      <c r="E14" s="6" t="s">
        <v>12</v>
      </c>
      <c r="F14" s="6">
        <f>IF(E14="PP",1,
IF(E14="P",3,
IF(E14="M",5,
IF(E14="G",13,
IF(E14="GG",21,"")))))</f>
        <v>13</v>
      </c>
      <c r="G14" s="6">
        <v>1</v>
      </c>
      <c r="H14" s="6" t="s">
        <v>13</v>
      </c>
      <c r="I14" s="6" t="str">
        <f t="shared" si="2"/>
        <v>Finalizado</v>
      </c>
      <c r="J14" s="3" t="b">
        <v>1</v>
      </c>
    </row>
    <row r="15" spans="2:16" ht="15">
      <c r="B15" s="4" t="s">
        <v>47</v>
      </c>
      <c r="C15" s="4" t="s">
        <v>48</v>
      </c>
      <c r="D15" s="5" t="s">
        <v>49</v>
      </c>
      <c r="E15" s="6" t="s">
        <v>17</v>
      </c>
      <c r="F15" s="6">
        <f>IF(E15="PP",1,
IF(E15="P",3,
IF(E15="M",5,
IF(E15="G",13,
IF(E15="GG",21,"")))))</f>
        <v>5</v>
      </c>
      <c r="G15" s="6">
        <v>3</v>
      </c>
      <c r="H15" s="6" t="s">
        <v>13</v>
      </c>
      <c r="I15" s="6" t="str">
        <f t="shared" si="2"/>
        <v>Finalizado</v>
      </c>
      <c r="J15" s="3" t="b">
        <v>1</v>
      </c>
    </row>
    <row r="16" spans="2:16" ht="30.75">
      <c r="B16" s="7" t="s">
        <v>50</v>
      </c>
      <c r="C16" s="4" t="s">
        <v>51</v>
      </c>
      <c r="D16" s="5" t="s">
        <v>49</v>
      </c>
      <c r="E16" s="6" t="s">
        <v>12</v>
      </c>
      <c r="F16" s="6">
        <f>IF(E16="PP",1,
IF(E16="P",3,
IF(E16="M",5,
IF(E16="G",13,
IF(E16="GG",21,"")))))</f>
        <v>13</v>
      </c>
      <c r="G16" s="6">
        <v>3</v>
      </c>
      <c r="H16" s="6" t="s">
        <v>13</v>
      </c>
      <c r="I16" s="6" t="str">
        <f t="shared" si="2"/>
        <v>Finalizado</v>
      </c>
      <c r="J16" s="3" t="b">
        <v>1</v>
      </c>
    </row>
    <row r="17" spans="2:10" ht="15">
      <c r="B17" s="4" t="s">
        <v>52</v>
      </c>
      <c r="C17" s="4" t="s">
        <v>53</v>
      </c>
      <c r="D17" s="5" t="s">
        <v>11</v>
      </c>
      <c r="E17" s="6" t="s">
        <v>12</v>
      </c>
      <c r="F17" s="6">
        <f>IF(E17="PP",1,
IF(E17="P",3,
IF(E17="M",5,
IF(E17="G",13,
IF(E17="GG",21,"")))))</f>
        <v>13</v>
      </c>
      <c r="G17" s="6">
        <v>2</v>
      </c>
      <c r="H17" s="6" t="s">
        <v>13</v>
      </c>
      <c r="I17" s="6" t="str">
        <f t="shared" si="2"/>
        <v>Finalizado</v>
      </c>
      <c r="J17" s="3" t="b">
        <v>1</v>
      </c>
    </row>
    <row r="18" spans="2:10" ht="15">
      <c r="B18" s="4" t="s">
        <v>54</v>
      </c>
      <c r="C18" s="4" t="s">
        <v>55</v>
      </c>
      <c r="D18" s="4" t="s">
        <v>49</v>
      </c>
      <c r="E18" s="4" t="s">
        <v>56</v>
      </c>
      <c r="F18" s="4">
        <f t="shared" ref="F18:F19" si="3">IF(E18="PP",1,
IF(E18="P",3,
IF(E18="M",5,
IF(E18="G",13,
IF(E18="GG",21,"")))))</f>
        <v>21</v>
      </c>
      <c r="G18" s="4">
        <v>3</v>
      </c>
      <c r="H18" s="4" t="s">
        <v>13</v>
      </c>
      <c r="I18" s="6" t="str">
        <f>IF(J18=TRUE,"Finalizado",IF(H18="SP1","Em andamento","Planejado"))</f>
        <v>Finalizado</v>
      </c>
      <c r="J18" s="2" t="b">
        <v>1</v>
      </c>
    </row>
    <row r="19" spans="2:10" ht="15">
      <c r="B19" s="7" t="s">
        <v>57</v>
      </c>
      <c r="C19" s="4" t="s">
        <v>58</v>
      </c>
      <c r="D19" s="5" t="s">
        <v>49</v>
      </c>
      <c r="E19" s="6" t="s">
        <v>17</v>
      </c>
      <c r="F19" s="6">
        <f t="shared" si="3"/>
        <v>5</v>
      </c>
      <c r="G19" s="6">
        <v>3</v>
      </c>
      <c r="H19" s="6" t="s">
        <v>13</v>
      </c>
      <c r="I19" s="6" t="str">
        <f>IF(J19=TRUE,"Finalizado",IF(H19="SP1","Em andamento","Planejado"))</f>
        <v>Finalizado</v>
      </c>
      <c r="J19" s="2" t="b">
        <v>1</v>
      </c>
    </row>
    <row r="20" spans="2:10" ht="15">
      <c r="B20" s="4" t="s">
        <v>59</v>
      </c>
      <c r="C20" s="4" t="s">
        <v>60</v>
      </c>
      <c r="D20" s="4" t="s">
        <v>11</v>
      </c>
      <c r="E20" s="4" t="s">
        <v>17</v>
      </c>
      <c r="F20" s="4">
        <f>IF(E20="PP",1,
IF(E20="P",3,
IF(E20="M",5,
IF(E20="G",13,
IF(E20="GG",21,"")))))</f>
        <v>5</v>
      </c>
      <c r="G20" s="4">
        <v>3</v>
      </c>
      <c r="H20" s="4" t="s">
        <v>18</v>
      </c>
      <c r="I20" s="6" t="str">
        <f>IF(J20=TRUE,"Finalizado",IF(H20="SP1","Em andamento","Planejado"))</f>
        <v>Finalizado</v>
      </c>
      <c r="J20" s="2" t="b">
        <v>1</v>
      </c>
    </row>
    <row r="21" spans="2:10" ht="15">
      <c r="B21" s="4" t="s">
        <v>61</v>
      </c>
      <c r="C21" s="4" t="s">
        <v>62</v>
      </c>
      <c r="D21" s="4" t="s">
        <v>11</v>
      </c>
      <c r="E21" s="4" t="s">
        <v>17</v>
      </c>
      <c r="F21" s="4">
        <f>IF(E21="PP",1,
IF(E21="P",3,
IF(E21="M",5,
IF(E21="G",13,
IF(E21="GG",21,"")))))</f>
        <v>5</v>
      </c>
      <c r="G21" s="4">
        <v>1</v>
      </c>
      <c r="H21" s="4" t="s">
        <v>18</v>
      </c>
      <c r="I21" s="6" t="str">
        <f>IF(J21=TRUE,"Finalizado",IF(H21="SP1","Em andamento","Planejado"))</f>
        <v>Finalizado</v>
      </c>
      <c r="J21" s="2" t="b">
        <v>1</v>
      </c>
    </row>
    <row r="22" spans="2:10" ht="15">
      <c r="B22" s="4" t="s">
        <v>63</v>
      </c>
      <c r="C22" s="6" t="s">
        <v>64</v>
      </c>
      <c r="D22" s="5" t="s">
        <v>11</v>
      </c>
      <c r="E22" s="6" t="s">
        <v>42</v>
      </c>
      <c r="F22" s="6">
        <f>IF(E22="PP",1,
IF(E22="P",3,
IF(E22="M",5,
IF(E22="G",13,
IF(E22="GG",21,"")))))</f>
        <v>3</v>
      </c>
      <c r="G22" s="6">
        <v>1</v>
      </c>
      <c r="H22" s="6" t="s">
        <v>30</v>
      </c>
      <c r="I22" s="6" t="str">
        <f>IF(J22=TRUE,"Finalizado",IF(H22="SP1","Em andamento","Planejado"))</f>
        <v>Finalizado</v>
      </c>
      <c r="J22" s="3" t="b">
        <v>1</v>
      </c>
    </row>
    <row r="23" spans="2:10" ht="15">
      <c r="B23" s="4" t="s">
        <v>65</v>
      </c>
      <c r="C23" s="6" t="s">
        <v>66</v>
      </c>
      <c r="D23" s="5" t="s">
        <v>11</v>
      </c>
      <c r="E23" s="6" t="s">
        <v>42</v>
      </c>
      <c r="F23" s="6">
        <f>IF(E23="PP",1,
IF(E23="P",3,
IF(E23="M",5,
IF(E23="G",13,
IF(E23="GG",21,"")))))</f>
        <v>3</v>
      </c>
      <c r="G23" s="6">
        <v>1</v>
      </c>
      <c r="H23" s="6" t="s">
        <v>30</v>
      </c>
      <c r="I23" s="6" t="str">
        <f>IF(J23=TRUE,"Finalizado",IF(H23="SP1","Em andamento","Planejado"))</f>
        <v>Finalizado</v>
      </c>
      <c r="J23" s="3" t="b">
        <v>1</v>
      </c>
    </row>
    <row r="24" spans="2:10" ht="15">
      <c r="B24" s="4" t="s">
        <v>67</v>
      </c>
      <c r="C24" s="4" t="s">
        <v>68</v>
      </c>
      <c r="D24" s="5" t="s">
        <v>11</v>
      </c>
      <c r="E24" s="6" t="s">
        <v>12</v>
      </c>
      <c r="F24" s="6">
        <f>IF(E24="PP",1,
IF(E24="P",3,
IF(E24="M",5,
IF(E24="G",13,
IF(E24="GG",21,"")))))</f>
        <v>13</v>
      </c>
      <c r="G24" s="6">
        <v>2</v>
      </c>
      <c r="H24" s="6" t="s">
        <v>30</v>
      </c>
      <c r="I24" s="6" t="str">
        <f>IF(J24=TRUE,"Finalizado",IF(H24="SP1","Em andamento","Planejado"))</f>
        <v>Finalizado</v>
      </c>
      <c r="J24" s="3" t="b">
        <v>1</v>
      </c>
    </row>
    <row r="25" spans="2:10" ht="15">
      <c r="B25" s="4" t="s">
        <v>69</v>
      </c>
      <c r="C25" s="4" t="s">
        <v>70</v>
      </c>
      <c r="D25" s="5" t="s">
        <v>11</v>
      </c>
      <c r="E25" s="6" t="s">
        <v>17</v>
      </c>
      <c r="F25" s="6">
        <f>IF(E25="PP",1,
IF(E25="P",3,
IF(E25="M",5,
IF(E25="G",13,
IF(E25="GG",21,"")))))</f>
        <v>5</v>
      </c>
      <c r="G25" s="6">
        <v>2</v>
      </c>
      <c r="H25" s="6" t="s">
        <v>30</v>
      </c>
      <c r="I25" s="6" t="str">
        <f>IF(J25=TRUE,"Finalizado",IF(H25="SP1","Em andamento","Planejado"))</f>
        <v>Finalizado</v>
      </c>
      <c r="J25" s="3" t="b">
        <v>1</v>
      </c>
    </row>
    <row r="26" spans="2:10" ht="15">
      <c r="B26" s="7" t="s">
        <v>71</v>
      </c>
      <c r="C26" s="4" t="s">
        <v>72</v>
      </c>
      <c r="D26" s="5" t="s">
        <v>16</v>
      </c>
      <c r="E26" s="6" t="s">
        <v>42</v>
      </c>
      <c r="F26" s="6">
        <f>IF(E26="PP",1,
IF(E26="P",3,
IF(E26="M",5,
IF(E26="G",13,
IF(E26="GG",21,"")))))</f>
        <v>3</v>
      </c>
      <c r="G26" s="6">
        <v>1</v>
      </c>
      <c r="H26" s="6" t="s">
        <v>30</v>
      </c>
      <c r="I26" s="6" t="str">
        <f>IF(J26=TRUE,"Finalizado",IF(H26="SP1","Em andamento","Planejado"))</f>
        <v>Finalizado</v>
      </c>
      <c r="J26" s="3" t="b">
        <v>1</v>
      </c>
    </row>
    <row r="27" spans="2:10" ht="15">
      <c r="B27" s="4" t="s">
        <v>73</v>
      </c>
      <c r="C27" s="7" t="s">
        <v>74</v>
      </c>
      <c r="D27" s="5" t="s">
        <v>16</v>
      </c>
      <c r="E27" s="6" t="s">
        <v>12</v>
      </c>
      <c r="F27" s="6">
        <f>IF(E27="PP",1,
IF(E27="P",3,
IF(E27="M",5,
IF(E27="G",13,
IF(E27="GG",21,"")))))</f>
        <v>13</v>
      </c>
      <c r="G27" s="6">
        <v>1</v>
      </c>
      <c r="H27" s="6" t="s">
        <v>30</v>
      </c>
      <c r="I27" s="6" t="str">
        <f>IF(J27=TRUE,"Finalizado",IF(H27="SP1","Em andamento","Planejado"))</f>
        <v>Finalizado</v>
      </c>
      <c r="J27" s="3" t="b">
        <v>1</v>
      </c>
    </row>
    <row r="28" spans="2:10" ht="15"/>
    <row r="29" spans="2:10" ht="15"/>
    <row r="30" spans="2:10" ht="15"/>
    <row r="31" spans="2:10" ht="15"/>
    <row r="32" spans="2:10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</sheetData>
  <phoneticPr fontId="4" type="noConversion"/>
  <conditionalFormatting sqref="B3:I27">
    <cfRule type="expression" dxfId="2" priority="112">
      <formula>$J3=TRUE</formula>
    </cfRule>
  </conditionalFormatting>
  <conditionalFormatting sqref="B3:I27">
    <cfRule type="expression" dxfId="1" priority="110">
      <formula>$I3="Planejado"</formula>
    </cfRule>
    <cfRule type="expression" dxfId="0" priority="111">
      <formula>$I3="Em andamento"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IADA DO NASCIMENTO .</dc:creator>
  <cp:keywords/>
  <dc:description/>
  <cp:lastModifiedBy>LUÍS FELIPE GOMES .</cp:lastModifiedBy>
  <cp:revision/>
  <dcterms:created xsi:type="dcterms:W3CDTF">2025-11-08T14:18:40Z</dcterms:created>
  <dcterms:modified xsi:type="dcterms:W3CDTF">2025-12-02T23:51:48Z</dcterms:modified>
  <cp:category/>
  <cp:contentStatus/>
</cp:coreProperties>
</file>